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<sst xmlns="http://schemas.openxmlformats.org/spreadsheetml/2006/main" count="37" uniqueCount="28">
  <si>
    <t>serverClasses</t>
  </si>
  <si>
    <t>qty</t>
  </si>
  <si>
    <t>inference-server</t>
  </si>
  <si>
    <t>gpu-cluster-server</t>
  </si>
  <si>
    <t>storage-server</t>
  </si>
  <si>
    <t>serverConnectionProfiles</t>
  </si>
  <si>
    <t>fabric</t>
  </si>
  <si>
    <t>nic-fe-200G</t>
  </si>
  <si>
    <t>fe</t>
  </si>
  <si>
    <t>nic-be-400G</t>
  </si>
  <si>
    <t>be</t>
  </si>
  <si>
    <t>total_fe_gpu_200G_ports</t>
  </si>
  <si>
    <t>total_fe_storage_200G_ports</t>
  </si>
  <si>
    <t>total_be_400G_ports</t>
  </si>
  <si>
    <t>switchClasses</t>
  </si>
  <si>
    <t>access_ports_each</t>
  </si>
  <si>
    <t>access_port_gbps</t>
  </si>
  <si>
    <t>uplink_ports_each</t>
  </si>
  <si>
    <t>uplink_port_gbps</t>
  </si>
  <si>
    <t>per_switch_uplink_bw</t>
  </si>
  <si>
    <t>class_total_uplink_bw</t>
  </si>
  <si>
    <t>required_800G_ports</t>
  </si>
  <si>
    <t>fe-gpu-leaf</t>
  </si>
  <si>
    <t>fe-storage-leaf</t>
  </si>
  <si>
    <t>fe-leaf-total-qty</t>
  </si>
  <si>
    <t>fe-spine</t>
  </si>
  <si>
    <t>be-leaf</t>
  </si>
  <si>
    <t>be-spine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</si>
</sst>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>
      <c r="A2" s="1" t="s">
        <v>2</v>
      </c>
      <c r="B2" s="2">
        <v>96.0</v>
      </c>
      <c r="C2" s="1"/>
      <c r="D2" s="1"/>
      <c r="E2" s="1"/>
      <c r="F2" s="1"/>
      <c r="G2" s="1"/>
      <c r="H2" s="1"/>
      <c r="I2" s="1"/>
    </row>
    <row r="3">
      <c r="A3" s="1" t="s">
        <v>3</v>
      </c>
      <c r="B3" s="2">
        <v>32.0</v>
      </c>
      <c r="C3" s="1"/>
      <c r="D3" s="1"/>
      <c r="E3" s="1"/>
      <c r="F3" s="1"/>
      <c r="G3" s="1"/>
      <c r="H3" s="1"/>
      <c r="I3" s="1"/>
    </row>
    <row r="4">
      <c r="A4" s="1" t="s">
        <v>4</v>
      </c>
      <c r="B4" s="2">
        <v>18.0</v>
      </c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 t="s">
        <v>5</v>
      </c>
      <c r="B7" s="1" t="s">
        <v>1</v>
      </c>
      <c r="C7" s="1" t="s">
        <v>6</v>
      </c>
      <c r="D7" s="1"/>
      <c r="E7" s="1"/>
      <c r="F7" s="1"/>
      <c r="G7" s="1"/>
      <c r="H7" s="1"/>
      <c r="I7" s="1"/>
    </row>
    <row r="8">
      <c r="A8" s="1" t="s">
        <v>2</v>
      </c>
      <c r="B8" s="1"/>
      <c r="C8" s="1"/>
      <c r="D8" s="1"/>
      <c r="E8" s="1"/>
      <c r="F8" s="1"/>
      <c r="G8" s="1"/>
      <c r="H8" s="1"/>
      <c r="I8" s="1"/>
    </row>
    <row r="9">
      <c r="A9" s="1" t="s">
        <v>7</v>
      </c>
      <c r="B9" s="2">
        <v>2.0</v>
      </c>
      <c r="C9" s="1" t="s">
        <v>8</v>
      </c>
      <c r="D9" s="1"/>
      <c r="E9" s="1"/>
      <c r="F9" s="1"/>
      <c r="G9" s="1"/>
      <c r="H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 t="s">
        <v>3</v>
      </c>
      <c r="B11" s="1"/>
      <c r="C11" s="1"/>
      <c r="D11" s="1"/>
      <c r="E11" s="1"/>
      <c r="F11" s="1"/>
      <c r="G11" s="1"/>
      <c r="H11" s="1"/>
      <c r="I11" s="1"/>
    </row>
    <row r="12">
      <c r="A12" s="1" t="s">
        <v>7</v>
      </c>
      <c r="B12" s="2">
        <v>2.0</v>
      </c>
      <c r="C12" s="1" t="s">
        <v>8</v>
      </c>
      <c r="D12" s="1"/>
      <c r="E12" s="1"/>
      <c r="F12" s="1"/>
      <c r="G12" s="1"/>
      <c r="H12" s="1"/>
      <c r="I12" s="1"/>
    </row>
    <row r="13">
      <c r="A13" s="1" t="s">
        <v>9</v>
      </c>
      <c r="B13" s="2">
        <v>8.0</v>
      </c>
      <c r="C13" s="1" t="s">
        <v>10</v>
      </c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 t="s">
        <v>4</v>
      </c>
      <c r="B15" s="1"/>
      <c r="C15" s="1"/>
      <c r="D15" s="1"/>
      <c r="E15" s="1"/>
      <c r="F15" s="1"/>
      <c r="G15" s="1"/>
      <c r="H15" s="1"/>
      <c r="I15" s="1"/>
    </row>
    <row r="16">
      <c r="A16" s="1" t="s">
        <v>7</v>
      </c>
      <c r="B16" s="2">
        <v>2.0</v>
      </c>
      <c r="C16" s="1" t="s">
        <v>8</v>
      </c>
      <c r="D16" s="1"/>
      <c r="E16" s="1"/>
      <c r="F16" s="1"/>
      <c r="G16" s="1"/>
      <c r="H16" s="1"/>
      <c r="I16" s="1"/>
    </row>
    <row r="17">
      <c r="A17" s="1"/>
      <c r="B17" s="1"/>
      <c r="C17" s="1"/>
      <c r="D17" s="1"/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 t="s">
        <v>11</v>
      </c>
      <c r="B19" s="2">
        <f>((B2*B9)+(B3*B12))</f>
        <v>256</v>
      </c>
      <c r="C19" s="1"/>
      <c r="D19" s="1"/>
      <c r="E19" s="1"/>
      <c r="F19" s="1"/>
      <c r="G19" s="1"/>
      <c r="H19" s="1"/>
      <c r="I19" s="1"/>
    </row>
    <row r="20">
      <c r="A20" s="1" t="s">
        <v>12</v>
      </c>
      <c r="B20" s="2">
        <f>B4*B16</f>
        <v>36</v>
      </c>
      <c r="C20" s="1"/>
      <c r="D20" s="1"/>
      <c r="E20" s="1"/>
      <c r="F20" s="1"/>
      <c r="G20" s="1"/>
      <c r="H20" s="1"/>
      <c r="I20" s="1"/>
    </row>
    <row r="21">
      <c r="A21" s="1" t="s">
        <v>13</v>
      </c>
      <c r="B21" s="2">
        <f>B3*B13</f>
        <v>256</v>
      </c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 t="s">
        <v>14</v>
      </c>
      <c r="B23" s="1" t="s">
        <v>1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</row>
    <row r="24">
      <c r="A24" s="1" t="s">
        <v>22</v>
      </c>
      <c r="B24" s="2">
        <f t="shared" ref="B24:B25" si="1">CEILING(B19/C24,2)</f>
        <v>2</v>
      </c>
      <c r="C24" s="2">
        <v>128.0</v>
      </c>
      <c r="D24" s="2">
        <v>200.0</v>
      </c>
      <c r="E24" s="2">
        <v>32.0</v>
      </c>
      <c r="F24" s="2">
        <v>800.0</v>
      </c>
      <c r="G24" s="2">
        <f t="shared" ref="G24:G25" si="2">E24*F24</f>
        <v>25600</v>
      </c>
      <c r="H24" s="2">
        <f t="shared" ref="H24:H25" si="3">G24*B24</f>
        <v>51200</v>
      </c>
      <c r="I24" s="1"/>
    </row>
    <row r="25">
      <c r="A25" s="1" t="s">
        <v>23</v>
      </c>
      <c r="B25" s="2">
        <f t="shared" si="1"/>
        <v>2</v>
      </c>
      <c r="C25" s="2">
        <v>128.0</v>
      </c>
      <c r="D25" s="2">
        <v>200.0</v>
      </c>
      <c r="E25" s="2">
        <v>32.0</v>
      </c>
      <c r="F25" s="2">
        <v>800.0</v>
      </c>
      <c r="G25" s="2">
        <f t="shared" si="2"/>
        <v>25600</v>
      </c>
      <c r="H25" s="2">
        <f t="shared" si="3"/>
        <v>51200</v>
      </c>
      <c r="I25" s="1"/>
    </row>
    <row r="26">
      <c r="A26" s="1" t="s">
        <v>24</v>
      </c>
      <c r="B26" s="2">
        <f>SUM(B24:B25)</f>
        <v>4</v>
      </c>
      <c r="C26" s="1"/>
      <c r="D26" s="1"/>
      <c r="E26" s="1"/>
      <c r="F26" s="1"/>
      <c r="G26" s="1"/>
      <c r="H26" s="2">
        <f>SUM(H24:H25)</f>
        <v>102400</v>
      </c>
      <c r="I26" s="2">
        <f>H26/800</f>
        <v>128</v>
      </c>
    </row>
    <row r="27">
      <c r="A27" s="1" t="s">
        <v>25</v>
      </c>
      <c r="B27" s="2">
        <f>CEILING(I26/C27,2)</f>
        <v>2</v>
      </c>
      <c r="C27" s="2">
        <v>64.0</v>
      </c>
      <c r="D27" s="2">
        <v>800.0</v>
      </c>
      <c r="E27" s="1"/>
      <c r="F27" s="1"/>
      <c r="G27" s="1"/>
      <c r="H27" s="1"/>
      <c r="I27" s="1"/>
    </row>
    <row r="28">
      <c r="A28" s="1" t="s">
        <v>26</v>
      </c>
      <c r="B28" s="2">
        <f>CEILING(B21/C28,1)</f>
        <v>4</v>
      </c>
      <c r="C28" s="2">
        <v>64.0</v>
      </c>
      <c r="D28" s="2">
        <v>400.0</v>
      </c>
      <c r="E28" s="2">
        <v>32.0</v>
      </c>
      <c r="F28" s="2">
        <v>800.0</v>
      </c>
      <c r="G28" s="1"/>
      <c r="H28" s="1"/>
      <c r="I28" s="2">
        <f>E28*B28</f>
        <v>128</v>
      </c>
    </row>
    <row r="29">
      <c r="A29" s="1" t="s">
        <v>27</v>
      </c>
      <c r="B29" s="2">
        <f>CEILING(I28/C29,2)</f>
        <v>2</v>
      </c>
      <c r="C29" s="2">
        <v>64.0</v>
      </c>
      <c r="D29" s="2">
        <v>800.0</v>
      </c>
      <c r="E29" s="1"/>
      <c r="F29" s="1"/>
      <c r="G29" s="1"/>
      <c r="H29" s="1"/>
      <c r="I29" s="1"/>
    </row>
  </sheetData>
  <drawing r:id="rId1"/>
</worksheet>
</file>